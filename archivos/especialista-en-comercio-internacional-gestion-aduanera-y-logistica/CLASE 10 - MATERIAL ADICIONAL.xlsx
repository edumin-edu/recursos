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ACA48CD-004D-4A38-87E8-661D47A565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 costos" sheetId="1" r:id="rId1"/>
  </sheets>
  <calcPr calcId="191029"/>
</workbook>
</file>

<file path=xl/calcChain.xml><?xml version="1.0" encoding="utf-8"?>
<calcChain xmlns="http://schemas.openxmlformats.org/spreadsheetml/2006/main">
  <c r="G58" i="1" l="1"/>
  <c r="H58" i="1" s="1"/>
  <c r="G59" i="1"/>
  <c r="H59" i="1" s="1"/>
  <c r="G57" i="1"/>
  <c r="H57" i="1" s="1"/>
  <c r="E15" i="1"/>
  <c r="I59" i="1" l="1"/>
  <c r="J59" i="1" s="1"/>
  <c r="I57" i="1"/>
  <c r="J57" i="1" s="1"/>
  <c r="I58" i="1"/>
  <c r="J58" i="1" s="1"/>
  <c r="C8" i="1"/>
  <c r="F28" i="1"/>
  <c r="F42" i="1" s="1"/>
  <c r="F34" i="1"/>
  <c r="F43" i="1" s="1"/>
  <c r="E18" i="1" l="1"/>
  <c r="F21" i="1" l="1"/>
  <c r="F40" i="1" l="1"/>
  <c r="F22" i="1" l="1"/>
  <c r="F41" i="1" s="1"/>
  <c r="F44" i="1" s="1"/>
  <c r="E46" i="1" s="1"/>
  <c r="D52" i="1" l="1"/>
  <c r="E52" i="1" s="1"/>
  <c r="D51" i="1"/>
  <c r="E51" i="1" s="1"/>
  <c r="D50" i="1"/>
  <c r="E50" i="1" s="1"/>
</calcChain>
</file>

<file path=xl/sharedStrings.xml><?xml version="1.0" encoding="utf-8"?>
<sst xmlns="http://schemas.openxmlformats.org/spreadsheetml/2006/main" count="70" uniqueCount="58">
  <si>
    <t>Descripción</t>
  </si>
  <si>
    <t>Cantidad en Unidades</t>
  </si>
  <si>
    <t>Total CIF</t>
  </si>
  <si>
    <t>Valor (USD)</t>
  </si>
  <si>
    <t>1) Valor CIF</t>
  </si>
  <si>
    <t>2) Derechos e impuestos</t>
  </si>
  <si>
    <t>Solución</t>
  </si>
  <si>
    <t>Ad valorem:</t>
  </si>
  <si>
    <t>IGV</t>
  </si>
  <si>
    <t>IPM</t>
  </si>
  <si>
    <t>(a)</t>
  </si>
  <si>
    <t>2% del (CIF + Ad Valorem) = (0.02 x (66,750 + 4,005)</t>
  </si>
  <si>
    <t>Percepción:</t>
  </si>
  <si>
    <t>3) Gastos Adicionales a la Importación</t>
  </si>
  <si>
    <t>Frascos</t>
  </si>
  <si>
    <t>Se está importando frascos de plástico para envasar maca en cápsulas</t>
  </si>
  <si>
    <t>Precio Unitario FOB CHINA (USD)</t>
  </si>
  <si>
    <t>Total FOB CHINA (USD)</t>
  </si>
  <si>
    <t>Total FOB</t>
  </si>
  <si>
    <t>SEGURO CHINA</t>
  </si>
  <si>
    <t>6% del CIF (0.06 x 882.70)</t>
  </si>
  <si>
    <t>16% del (CIF + Ad Valorem) = 0.16 x (882.7+52.962)</t>
  </si>
  <si>
    <t>3.5% x (CIF + Ad Valorem + IGV) (3.5% x (882.70+52.962+149.70592+18.71324)</t>
  </si>
  <si>
    <t xml:space="preserve">    Almacenamiento</t>
  </si>
  <si>
    <t xml:space="preserve">    Transporte local</t>
  </si>
  <si>
    <t xml:space="preserve">    Comisiones de agentes</t>
  </si>
  <si>
    <t xml:space="preserve">    Descarga</t>
  </si>
  <si>
    <t xml:space="preserve">    Gastos de apertura y remesa L/C 2% del 840.00 (FOB): </t>
  </si>
  <si>
    <t xml:space="preserve">    Intereses del proveedor: </t>
  </si>
  <si>
    <t xml:space="preserve">    Intereses del agente de aduana: </t>
  </si>
  <si>
    <t xml:space="preserve">4) Gastos financieros: </t>
  </si>
  <si>
    <t xml:space="preserve">Cantidad: </t>
  </si>
  <si>
    <t>Cajas</t>
  </si>
  <si>
    <t>Kg</t>
  </si>
  <si>
    <t>Peso bruto:</t>
  </si>
  <si>
    <t>Peso Bruto Total:</t>
  </si>
  <si>
    <t>3) Gastos de despacho y otros de importación</t>
  </si>
  <si>
    <t>4) Gastos financieros</t>
  </si>
  <si>
    <t>Total costos</t>
  </si>
  <si>
    <t>Factor de Distribución =</t>
  </si>
  <si>
    <t>Costos totales de importación</t>
  </si>
  <si>
    <t>Valor FOB</t>
  </si>
  <si>
    <t>Factor de distribución</t>
  </si>
  <si>
    <t>FLETE CHINA-PERÚ</t>
  </si>
  <si>
    <t>Resumen de los costos de importación</t>
  </si>
  <si>
    <t>Costo unitario de importación</t>
  </si>
  <si>
    <t>Tapas</t>
  </si>
  <si>
    <t>Etiquetas</t>
  </si>
  <si>
    <t>La gerencia ha decidido un margen del 80% del costo. ¿A cómo deberá vender?</t>
  </si>
  <si>
    <t>%</t>
  </si>
  <si>
    <t>Margen</t>
  </si>
  <si>
    <t>Valor Venta</t>
  </si>
  <si>
    <t>IGV (18%)</t>
  </si>
  <si>
    <t>Precio Venta</t>
  </si>
  <si>
    <t>Frascos (1)</t>
  </si>
  <si>
    <t>Frascos (2)</t>
  </si>
  <si>
    <t>Frascos (3)</t>
  </si>
  <si>
    <t xml:space="preserve">EJERCICIO 1 - COSTOS DE IMPORTACIÓN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</si>
</sst>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5" formatCode="#,##0.000"/>
    <numFmt numFmtId="166" formatCode="0.000000000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7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6"/>
      <color rgb="FF000000"/>
      <name val="Arial Rounded MT Bold"/>
      <family val="2"/>
    </font>
    <font>
      <sz val="16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2" xfId="0" applyFont="1" applyBorder="1"/>
    <xf numFmtId="164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/>
    <xf numFmtId="9" fontId="0" fillId="0" borderId="0" xfId="0" applyNumberFormat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10" fontId="0" fillId="0" borderId="0" xfId="0" applyNumberFormat="1"/>
    <xf numFmtId="0" fontId="5" fillId="0" borderId="0" xfId="0" applyFont="1"/>
    <xf numFmtId="4" fontId="5" fillId="0" borderId="0" xfId="0" applyNumberFormat="1" applyFont="1"/>
    <xf numFmtId="2" fontId="5" fillId="0" borderId="0" xfId="0" applyNumberFormat="1" applyFont="1"/>
    <xf numFmtId="2" fontId="2" fillId="0" borderId="0" xfId="0" applyNumberFormat="1" applyFont="1"/>
    <xf numFmtId="2" fontId="0" fillId="0" borderId="0" xfId="0" applyNumberFormat="1"/>
    <xf numFmtId="2" fontId="1" fillId="0" borderId="2" xfId="0" applyNumberFormat="1" applyFont="1" applyBorder="1"/>
    <xf numFmtId="2" fontId="1" fillId="0" borderId="0" xfId="0" applyNumberFormat="1" applyFont="1"/>
    <xf numFmtId="2" fontId="1" fillId="0" borderId="1" xfId="0" applyNumberFormat="1" applyFont="1" applyBorder="1" applyAlignment="1">
      <alignment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164" fontId="0" fillId="0" borderId="2" xfId="0" applyNumberFormat="1" applyBorder="1"/>
    <xf numFmtId="0" fontId="2" fillId="0" borderId="1" xfId="0" applyFont="1" applyBorder="1" applyAlignment="1">
      <alignment horizontal="center"/>
    </xf>
    <xf numFmtId="49" fontId="0" fillId="0" borderId="0" xfId="0" applyNumberFormat="1"/>
    <xf numFmtId="0" fontId="3" fillId="0" borderId="2" xfId="0" applyFont="1" applyBorder="1"/>
    <xf numFmtId="164" fontId="1" fillId="0" borderId="2" xfId="0" applyNumberFormat="1" applyFont="1" applyBorder="1"/>
    <xf numFmtId="165" fontId="0" fillId="2" borderId="2" xfId="0" applyNumberFormat="1" applyFill="1" applyBorder="1" applyAlignment="1">
      <alignment horizontal="right"/>
    </xf>
    <xf numFmtId="166" fontId="1" fillId="0" borderId="2" xfId="0" applyNumberFormat="1" applyFont="1" applyBorder="1"/>
    <xf numFmtId="9" fontId="0" fillId="0" borderId="2" xfId="0" applyNumberFormat="1" applyBorder="1"/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7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296333</xdr:colOff>
      <xdr:row>0</xdr:row>
      <xdr:rowOff>148167</xdr:rowOff>
    </xdr:from>
    <xdr:to>
      <xdr:col>5</xdr:col>
      <xdr:colOff>317500</xdr:colOff>
      <xdr:row>5</xdr:row>
      <xdr:rowOff>127000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E173EAC-BEC6-4443-A61D-7DC76E91C57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0" y="148167"/>
          <a:ext cx="1693333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J59"/>
  <sheetViews>
    <sheetView showGridLines="0" tabSelected="1" zoomScale="90" zoomScaleNormal="90" workbookViewId="0">
      <selection activeCell="J8" sqref="J8"/>
    </sheetView>
  </sheetViews>
  <sheetFormatPr baseColWidth="10" defaultColWidth="12.5703125" defaultRowHeight="15.75" customHeight="1" x14ac:dyDescent="0.2"/>
  <cols>
    <col min="2" max="2" width="31.7109375" customWidth="1"/>
    <col min="3" max="3" width="31.5703125" customWidth="1"/>
    <col min="4" max="4" width="29.7109375" customWidth="1"/>
    <col min="5" max="5" width="25.140625" bestFit="1" customWidth="1"/>
  </cols>
  <sheetData>
    <row r="1" spans="2:5" ht="15.75" customHeight="1" thickBot="1" x14ac:dyDescent="0.25"/>
    <row r="2" spans="2:5" ht="36" customHeight="1" thickBot="1" x14ac:dyDescent="0.25">
      <c r="B2" s="35" t="s">
        <v>57</v>
      </c>
      <c r="C2" s="36"/>
      <c r="D2" s="37"/>
    </row>
    <row r="3" spans="2:5" ht="15.75" customHeight="1" x14ac:dyDescent="0.3">
      <c r="B3" s="34"/>
      <c r="C3" s="34"/>
    </row>
    <row r="5" spans="2:5" ht="15.75" customHeight="1" x14ac:dyDescent="0.2">
      <c r="B5" t="s">
        <v>15</v>
      </c>
    </row>
    <row r="6" spans="2:5" ht="15.75" customHeight="1" x14ac:dyDescent="0.2">
      <c r="B6" s="5" t="s">
        <v>31</v>
      </c>
      <c r="C6">
        <v>100</v>
      </c>
      <c r="D6" s="5" t="s">
        <v>32</v>
      </c>
    </row>
    <row r="7" spans="2:5" ht="15.75" customHeight="1" x14ac:dyDescent="0.2">
      <c r="B7" s="5" t="s">
        <v>34</v>
      </c>
      <c r="C7">
        <v>2.5</v>
      </c>
      <c r="D7" s="5" t="s">
        <v>33</v>
      </c>
    </row>
    <row r="8" spans="2:5" ht="15.75" customHeight="1" x14ac:dyDescent="0.2">
      <c r="B8" s="5" t="s">
        <v>35</v>
      </c>
      <c r="C8">
        <f>C6*C7</f>
        <v>250</v>
      </c>
      <c r="D8" s="5" t="s">
        <v>33</v>
      </c>
    </row>
    <row r="11" spans="2:5" ht="15.75" customHeight="1" x14ac:dyDescent="0.2">
      <c r="B11" s="2" t="s">
        <v>0</v>
      </c>
      <c r="C11" s="2" t="s">
        <v>16</v>
      </c>
      <c r="D11" s="2" t="s">
        <v>1</v>
      </c>
      <c r="E11" s="2" t="s">
        <v>17</v>
      </c>
    </row>
    <row r="12" spans="2:5" ht="15.75" customHeight="1" x14ac:dyDescent="0.2">
      <c r="B12" s="2" t="s">
        <v>54</v>
      </c>
      <c r="C12" s="28">
        <v>8.4000000000000005E-2</v>
      </c>
      <c r="D12" s="2">
        <v>10000</v>
      </c>
      <c r="E12" s="18"/>
    </row>
    <row r="13" spans="2:5" ht="15.75" customHeight="1" x14ac:dyDescent="0.2">
      <c r="B13" s="2" t="s">
        <v>55</v>
      </c>
      <c r="C13" s="28">
        <v>0.03</v>
      </c>
      <c r="D13" s="2">
        <v>10000</v>
      </c>
      <c r="E13" s="18"/>
    </row>
    <row r="14" spans="2:5" ht="15.75" customHeight="1" x14ac:dyDescent="0.2">
      <c r="B14" s="2" t="s">
        <v>56</v>
      </c>
      <c r="C14" s="28">
        <v>1.2E-2</v>
      </c>
      <c r="D14" s="2">
        <v>10000</v>
      </c>
      <c r="E14" s="18"/>
    </row>
    <row r="15" spans="2:5" ht="15.75" customHeight="1" x14ac:dyDescent="0.2">
      <c r="B15" s="1" t="s">
        <v>18</v>
      </c>
      <c r="E15" s="19">
        <f>SUM(E12:E14)</f>
        <v>0</v>
      </c>
    </row>
    <row r="16" spans="2:5" ht="15.75" customHeight="1" x14ac:dyDescent="0.2">
      <c r="B16" s="1" t="s">
        <v>43</v>
      </c>
      <c r="E16" s="19">
        <v>110</v>
      </c>
    </row>
    <row r="17" spans="2:10" ht="15.75" customHeight="1" thickBot="1" x14ac:dyDescent="0.25">
      <c r="B17" s="1" t="s">
        <v>19</v>
      </c>
      <c r="E17" s="20">
        <v>10</v>
      </c>
    </row>
    <row r="18" spans="2:10" ht="15.75" customHeight="1" x14ac:dyDescent="0.2">
      <c r="B18" s="1" t="s">
        <v>2</v>
      </c>
      <c r="E18" s="3">
        <f>SUM(E15:E17)</f>
        <v>120</v>
      </c>
    </row>
    <row r="20" spans="2:10" ht="15.75" customHeight="1" x14ac:dyDescent="0.2">
      <c r="B20" s="6" t="s">
        <v>6</v>
      </c>
      <c r="F20" t="s">
        <v>3</v>
      </c>
    </row>
    <row r="21" spans="2:10" ht="15.75" customHeight="1" x14ac:dyDescent="0.2">
      <c r="B21" t="s">
        <v>4</v>
      </c>
      <c r="F21" s="14">
        <f>E18</f>
        <v>120</v>
      </c>
    </row>
    <row r="22" spans="2:10" ht="15.75" customHeight="1" x14ac:dyDescent="0.2">
      <c r="B22" t="s">
        <v>5</v>
      </c>
      <c r="F22" s="15">
        <f>SUM(F23:F26)</f>
        <v>0</v>
      </c>
    </row>
    <row r="23" spans="2:10" ht="15.75" customHeight="1" x14ac:dyDescent="0.2">
      <c r="B23" s="5" t="s">
        <v>7</v>
      </c>
      <c r="C23" s="21" t="s">
        <v>20</v>
      </c>
      <c r="D23" s="7">
        <v>0.06</v>
      </c>
      <c r="E23" s="8" t="s">
        <v>10</v>
      </c>
      <c r="F23" s="16"/>
    </row>
    <row r="24" spans="2:10" ht="30.95" customHeight="1" x14ac:dyDescent="0.2">
      <c r="B24" s="10" t="s">
        <v>8</v>
      </c>
      <c r="C24" s="11" t="s">
        <v>21</v>
      </c>
      <c r="D24" s="7">
        <v>0.16</v>
      </c>
      <c r="F24" s="17"/>
      <c r="J24" s="4"/>
    </row>
    <row r="25" spans="2:10" ht="25.5" customHeight="1" x14ac:dyDescent="0.2">
      <c r="B25" s="10" t="s">
        <v>9</v>
      </c>
      <c r="C25" s="11" t="s">
        <v>11</v>
      </c>
      <c r="D25" s="7">
        <v>0.02</v>
      </c>
      <c r="F25" s="17"/>
      <c r="J25" s="4"/>
    </row>
    <row r="26" spans="2:10" ht="23.45" customHeight="1" x14ac:dyDescent="0.2">
      <c r="B26" s="9" t="s">
        <v>12</v>
      </c>
      <c r="C26" s="11" t="s">
        <v>22</v>
      </c>
      <c r="D26" s="12">
        <v>3.5000000000000003E-2</v>
      </c>
      <c r="F26" s="17"/>
      <c r="J26" s="4"/>
    </row>
    <row r="27" spans="2:10" ht="15.75" customHeight="1" x14ac:dyDescent="0.2">
      <c r="J27" s="4"/>
    </row>
    <row r="28" spans="2:10" ht="15.75" customHeight="1" x14ac:dyDescent="0.2">
      <c r="B28" s="5" t="s">
        <v>13</v>
      </c>
      <c r="F28" s="13">
        <f>SUM(F29:F32)</f>
        <v>0</v>
      </c>
    </row>
    <row r="29" spans="2:10" ht="15.75" customHeight="1" x14ac:dyDescent="0.2">
      <c r="B29" s="5" t="s">
        <v>26</v>
      </c>
      <c r="J29" s="4"/>
    </row>
    <row r="30" spans="2:10" ht="15.75" customHeight="1" x14ac:dyDescent="0.2">
      <c r="B30" t="s">
        <v>23</v>
      </c>
      <c r="J30" s="4"/>
    </row>
    <row r="31" spans="2:10" ht="15.75" customHeight="1" x14ac:dyDescent="0.2">
      <c r="B31" t="s">
        <v>24</v>
      </c>
    </row>
    <row r="32" spans="2:10" ht="15.75" customHeight="1" x14ac:dyDescent="0.2">
      <c r="B32" t="s">
        <v>25</v>
      </c>
    </row>
    <row r="34" spans="2:6" ht="15.75" customHeight="1" x14ac:dyDescent="0.2">
      <c r="B34" s="5" t="s">
        <v>30</v>
      </c>
      <c r="F34" s="13">
        <f>SUM(F35:F37)</f>
        <v>15</v>
      </c>
    </row>
    <row r="35" spans="2:6" ht="15.75" customHeight="1" x14ac:dyDescent="0.2">
      <c r="B35" s="5" t="s">
        <v>27</v>
      </c>
      <c r="D35" s="7">
        <v>0.02</v>
      </c>
    </row>
    <row r="36" spans="2:6" ht="15.75" customHeight="1" x14ac:dyDescent="0.2">
      <c r="B36" s="5" t="s">
        <v>28</v>
      </c>
      <c r="F36">
        <v>5</v>
      </c>
    </row>
    <row r="37" spans="2:6" ht="15.75" customHeight="1" x14ac:dyDescent="0.2">
      <c r="B37" s="5" t="s">
        <v>29</v>
      </c>
      <c r="F37">
        <v>10</v>
      </c>
    </row>
    <row r="39" spans="2:6" ht="15.75" customHeight="1" x14ac:dyDescent="0.2">
      <c r="B39" s="33" t="s">
        <v>44</v>
      </c>
      <c r="C39" s="33"/>
      <c r="D39" s="33"/>
      <c r="E39" s="33"/>
      <c r="F39" s="33"/>
    </row>
    <row r="40" spans="2:6" ht="15.75" customHeight="1" x14ac:dyDescent="0.2">
      <c r="B40" s="31" t="s">
        <v>4</v>
      </c>
      <c r="C40" s="31"/>
      <c r="D40" s="31"/>
      <c r="E40" s="31"/>
      <c r="F40" s="23">
        <f>F21</f>
        <v>120</v>
      </c>
    </row>
    <row r="41" spans="2:6" ht="15.75" customHeight="1" x14ac:dyDescent="0.2">
      <c r="B41" s="31" t="s">
        <v>5</v>
      </c>
      <c r="C41" s="31"/>
      <c r="D41" s="31"/>
      <c r="E41" s="31"/>
      <c r="F41" s="23">
        <f>F22</f>
        <v>0</v>
      </c>
    </row>
    <row r="42" spans="2:6" ht="15.75" customHeight="1" x14ac:dyDescent="0.2">
      <c r="B42" s="31" t="s">
        <v>36</v>
      </c>
      <c r="C42" s="31"/>
      <c r="D42" s="31"/>
      <c r="E42" s="31"/>
      <c r="F42" s="23">
        <f>F28</f>
        <v>0</v>
      </c>
    </row>
    <row r="43" spans="2:6" ht="15.75" customHeight="1" x14ac:dyDescent="0.2">
      <c r="B43" s="31" t="s">
        <v>37</v>
      </c>
      <c r="C43" s="31"/>
      <c r="D43" s="31"/>
      <c r="E43" s="31"/>
      <c r="F43" s="23">
        <f>F34</f>
        <v>15</v>
      </c>
    </row>
    <row r="44" spans="2:6" ht="15.75" customHeight="1" x14ac:dyDescent="0.2">
      <c r="E44" s="5" t="s">
        <v>38</v>
      </c>
      <c r="F44" s="3">
        <f>SUM(F40:F43)</f>
        <v>135</v>
      </c>
    </row>
    <row r="46" spans="2:6" ht="15.75" customHeight="1" thickBot="1" x14ac:dyDescent="0.25">
      <c r="B46" s="32" t="s">
        <v>39</v>
      </c>
      <c r="C46" s="24" t="s">
        <v>40</v>
      </c>
      <c r="E46" s="25" t="e">
        <f>F44/E15</f>
        <v>#DIV/0!</v>
      </c>
    </row>
    <row r="47" spans="2:6" ht="15.75" customHeight="1" x14ac:dyDescent="0.2">
      <c r="B47" s="32"/>
      <c r="C47" s="22" t="s">
        <v>41</v>
      </c>
    </row>
    <row r="49" spans="2:10" ht="15.75" customHeight="1" x14ac:dyDescent="0.2">
      <c r="B49" s="2" t="s">
        <v>0</v>
      </c>
      <c r="C49" s="2" t="s">
        <v>16</v>
      </c>
      <c r="D49" s="26" t="s">
        <v>42</v>
      </c>
      <c r="E49" s="26" t="s">
        <v>45</v>
      </c>
    </row>
    <row r="50" spans="2:10" ht="15.75" customHeight="1" x14ac:dyDescent="0.2">
      <c r="B50" s="2" t="s">
        <v>14</v>
      </c>
      <c r="C50" s="28">
        <v>8.4000000000000005E-2</v>
      </c>
      <c r="D50" s="29" t="e">
        <f>E46</f>
        <v>#DIV/0!</v>
      </c>
      <c r="E50" s="27" t="e">
        <f>C50*D50</f>
        <v>#DIV/0!</v>
      </c>
    </row>
    <row r="51" spans="2:10" ht="15.75" customHeight="1" x14ac:dyDescent="0.2">
      <c r="B51" s="2" t="s">
        <v>46</v>
      </c>
      <c r="C51" s="28">
        <v>0.03</v>
      </c>
      <c r="D51" s="29" t="e">
        <f>E46</f>
        <v>#DIV/0!</v>
      </c>
      <c r="E51" s="27" t="e">
        <f t="shared" ref="E51:E52" si="0">C51*D51</f>
        <v>#DIV/0!</v>
      </c>
    </row>
    <row r="52" spans="2:10" ht="15.75" customHeight="1" x14ac:dyDescent="0.2">
      <c r="B52" s="2" t="s">
        <v>47</v>
      </c>
      <c r="C52" s="28">
        <v>1.2E-2</v>
      </c>
      <c r="D52" s="29" t="e">
        <f>E46</f>
        <v>#DIV/0!</v>
      </c>
      <c r="E52" s="27" t="e">
        <f t="shared" si="0"/>
        <v>#DIV/0!</v>
      </c>
    </row>
    <row r="54" spans="2:10" ht="15.75" customHeight="1" x14ac:dyDescent="0.2">
      <c r="B54" s="1" t="s">
        <v>48</v>
      </c>
    </row>
    <row r="56" spans="2:10" ht="15.75" customHeight="1" x14ac:dyDescent="0.2">
      <c r="B56" s="2" t="s">
        <v>0</v>
      </c>
      <c r="C56" s="2" t="s">
        <v>16</v>
      </c>
      <c r="D56" s="26" t="s">
        <v>42</v>
      </c>
      <c r="E56" s="26" t="s">
        <v>45</v>
      </c>
      <c r="F56" s="2" t="s">
        <v>49</v>
      </c>
      <c r="G56" s="2" t="s">
        <v>50</v>
      </c>
      <c r="H56" s="2" t="s">
        <v>51</v>
      </c>
      <c r="I56" s="2" t="s">
        <v>52</v>
      </c>
      <c r="J56" s="2" t="s">
        <v>53</v>
      </c>
    </row>
    <row r="57" spans="2:10" ht="15.75" customHeight="1" x14ac:dyDescent="0.2">
      <c r="B57" s="2" t="s">
        <v>14</v>
      </c>
      <c r="C57" s="28">
        <v>8.4000000000000005E-2</v>
      </c>
      <c r="D57" s="29">
        <v>1.5005695555555556</v>
      </c>
      <c r="E57" s="27">
        <v>0.12604784266666669</v>
      </c>
      <c r="F57" s="30">
        <v>0.8</v>
      </c>
      <c r="G57" s="23">
        <f>E57*F57</f>
        <v>0.10083827413333335</v>
      </c>
      <c r="H57" s="23">
        <f>E57+G57</f>
        <v>0.22688611680000004</v>
      </c>
      <c r="I57" s="23">
        <f>H57*18%</f>
        <v>4.0839501024000004E-2</v>
      </c>
      <c r="J57" s="23">
        <f>H57+I57</f>
        <v>0.26772561782400006</v>
      </c>
    </row>
    <row r="58" spans="2:10" ht="15.75" customHeight="1" x14ac:dyDescent="0.2">
      <c r="B58" s="2" t="s">
        <v>46</v>
      </c>
      <c r="C58" s="28">
        <v>0.03</v>
      </c>
      <c r="D58" s="29">
        <v>1.5005695555555556</v>
      </c>
      <c r="E58" s="27">
        <v>4.5017086666666664E-2</v>
      </c>
      <c r="F58" s="30">
        <v>0.8</v>
      </c>
      <c r="G58" s="23">
        <f t="shared" ref="G58:G59" si="1">E58*F58</f>
        <v>3.6013669333333331E-2</v>
      </c>
      <c r="H58" s="23">
        <f t="shared" ref="H58:H59" si="2">E58+G58</f>
        <v>8.1030755999999995E-2</v>
      </c>
      <c r="I58" s="23">
        <f t="shared" ref="I58:I59" si="3">H58*18%</f>
        <v>1.4585536079999999E-2</v>
      </c>
      <c r="J58" s="23">
        <f t="shared" ref="J58:J59" si="4">H58+I58</f>
        <v>9.5616292079999998E-2</v>
      </c>
    </row>
    <row r="59" spans="2:10" ht="15.75" customHeight="1" x14ac:dyDescent="0.2">
      <c r="B59" s="2" t="s">
        <v>47</v>
      </c>
      <c r="C59" s="28">
        <v>1.2E-2</v>
      </c>
      <c r="D59" s="29">
        <v>1.5005695555555556</v>
      </c>
      <c r="E59" s="27">
        <v>1.8006834666666669E-2</v>
      </c>
      <c r="F59" s="30">
        <v>0.8</v>
      </c>
      <c r="G59" s="23">
        <f t="shared" si="1"/>
        <v>1.4405467733333337E-2</v>
      </c>
      <c r="H59" s="23">
        <f t="shared" si="2"/>
        <v>3.2412302400000009E-2</v>
      </c>
      <c r="I59" s="23">
        <f t="shared" si="3"/>
        <v>5.8342144320000016E-3</v>
      </c>
      <c r="J59" s="23">
        <f t="shared" si="4"/>
        <v>3.8246516832000012E-2</v>
      </c>
    </row>
  </sheetData>
  <mergeCells count="7">
    <mergeCell ref="B2:D2"/>
    <mergeCell ref="B41:E41"/>
    <mergeCell ref="B42:E42"/>
    <mergeCell ref="B43:E43"/>
    <mergeCell ref="B46:B47"/>
    <mergeCell ref="B39:F39"/>
    <mergeCell ref="B40:E4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Total 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JEFATURA ACADÉMICA</cp:lastModifiedBy>
  <dcterms:created xsi:type="dcterms:W3CDTF">2024-12-01T05:38:52Z</dcterms:created>
  <dcterms:modified xsi:type="dcterms:W3CDTF">2025-05-13T23:40:58Z</dcterms:modified>
</cp:coreProperties>
</file>